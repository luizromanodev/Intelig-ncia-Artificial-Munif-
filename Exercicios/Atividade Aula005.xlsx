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<sst xmlns="http://schemas.openxmlformats.org/spreadsheetml/2006/main" count="49" uniqueCount="23">
  <si>
    <t>Total</t>
  </si>
  <si>
    <t>Nenhum</t>
  </si>
  <si>
    <t>Gelatinosa</t>
  </si>
  <si>
    <t>Dura</t>
  </si>
  <si>
    <t>Quantidade</t>
  </si>
  <si>
    <t>P</t>
  </si>
  <si>
    <t>Log</t>
  </si>
  <si>
    <t>-P*Log</t>
  </si>
  <si>
    <t>Entropia</t>
  </si>
  <si>
    <t>Idade</t>
  </si>
  <si>
    <t>Criança</t>
  </si>
  <si>
    <t>Adolescente</t>
  </si>
  <si>
    <t>Adulto</t>
  </si>
  <si>
    <t>IG</t>
  </si>
  <si>
    <t>Diagnóstico</t>
  </si>
  <si>
    <t>Miopia</t>
  </si>
  <si>
    <t>Hipermetropia</t>
  </si>
  <si>
    <t>Astigmatismo</t>
  </si>
  <si>
    <t>Sim</t>
  </si>
  <si>
    <t>Não</t>
  </si>
  <si>
    <t>Taxa Lacrimal</t>
  </si>
  <si>
    <t>Normal</t>
  </si>
  <si>
    <t>Reduzida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</si>
</sst>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2">
        <v>15.0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1"/>
      <c r="D2" s="1" t="s">
        <v>1</v>
      </c>
      <c r="E2" s="1"/>
      <c r="F2" s="1"/>
      <c r="G2" s="1"/>
      <c r="H2" s="1"/>
      <c r="I2" s="1" t="s">
        <v>2</v>
      </c>
      <c r="J2" s="1"/>
      <c r="K2" s="1"/>
      <c r="L2" s="1"/>
      <c r="M2" s="1"/>
      <c r="N2" s="1" t="s">
        <v>3</v>
      </c>
      <c r="O2" s="1"/>
      <c r="P2" s="1"/>
      <c r="Q2" s="1"/>
      <c r="R2" s="1"/>
    </row>
    <row r="3">
      <c r="A3" s="1"/>
      <c r="B3" s="1" t="s">
        <v>4</v>
      </c>
      <c r="C3" s="1" t="s">
        <v>0</v>
      </c>
      <c r="D3" s="1" t="s">
        <v>5</v>
      </c>
      <c r="E3" s="1" t="s">
        <v>6</v>
      </c>
      <c r="F3" s="1" t="s">
        <v>7</v>
      </c>
      <c r="G3" s="1" t="s">
        <v>4</v>
      </c>
      <c r="H3" s="1" t="s">
        <v>0</v>
      </c>
      <c r="I3" s="1" t="s">
        <v>5</v>
      </c>
      <c r="J3" s="1" t="s">
        <v>6</v>
      </c>
      <c r="K3" s="1" t="s">
        <v>7</v>
      </c>
      <c r="L3" s="1" t="s">
        <v>4</v>
      </c>
      <c r="M3" s="1" t="s">
        <v>0</v>
      </c>
      <c r="N3" s="1" t="s">
        <v>5</v>
      </c>
      <c r="O3" s="1" t="s">
        <v>6</v>
      </c>
      <c r="P3" s="1" t="s">
        <v>7</v>
      </c>
      <c r="Q3" s="1" t="s">
        <v>8</v>
      </c>
      <c r="R3" s="1"/>
    </row>
    <row r="4">
      <c r="A4" s="1"/>
      <c r="B4" s="2">
        <v>3.0</v>
      </c>
      <c r="C4" s="2">
        <v>15.0</v>
      </c>
      <c r="D4" s="2">
        <f>B4/C4</f>
        <v>0.2</v>
      </c>
      <c r="E4" s="2">
        <f>log(D4,2)</f>
        <v>-2.321928095</v>
      </c>
      <c r="F4" s="2">
        <f>-D4*E4</f>
        <v>0.464385619</v>
      </c>
      <c r="G4" s="2">
        <v>8.0</v>
      </c>
      <c r="H4" s="2">
        <v>15.0</v>
      </c>
      <c r="I4" s="2">
        <f>G4/H4</f>
        <v>0.5333333333</v>
      </c>
      <c r="J4" s="2">
        <f>log(I4,2)</f>
        <v>-0.9068905956</v>
      </c>
      <c r="K4" s="2">
        <f>-I4*J4</f>
        <v>0.4836749843</v>
      </c>
      <c r="L4" s="2">
        <v>4.0</v>
      </c>
      <c r="M4" s="2">
        <v>15.0</v>
      </c>
      <c r="N4" s="2">
        <f>L4/M4</f>
        <v>0.2666666667</v>
      </c>
      <c r="O4" s="2">
        <f>log(N4,2)</f>
        <v>-1.906890596</v>
      </c>
      <c r="P4" s="2">
        <f>-N4*O4</f>
        <v>0.5085041588</v>
      </c>
      <c r="Q4" s="2">
        <f>F4+K4+P4</f>
        <v>1.456564762</v>
      </c>
      <c r="R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 t="s">
        <v>12</v>
      </c>
      <c r="M7" s="1"/>
      <c r="N7" s="1"/>
      <c r="O7" s="1"/>
      <c r="P7" s="1"/>
      <c r="Q7" s="1"/>
      <c r="R7" s="1"/>
    </row>
    <row r="8">
      <c r="A8" s="1" t="s">
        <v>1</v>
      </c>
      <c r="B8" s="2">
        <v>1.0</v>
      </c>
      <c r="C8" s="2">
        <v>4.0</v>
      </c>
      <c r="D8" s="2">
        <f t="shared" ref="D8:D10" si="1">B8/C8</f>
        <v>0.25</v>
      </c>
      <c r="E8" s="2">
        <f t="shared" ref="E8:E10" si="2">log(D8,2)</f>
        <v>-2</v>
      </c>
      <c r="F8" s="2">
        <f t="shared" ref="F8:F10" si="3">-D8*E8</f>
        <v>0.5</v>
      </c>
      <c r="G8" s="2">
        <v>1.0</v>
      </c>
      <c r="H8" s="2">
        <v>5.0</v>
      </c>
      <c r="I8" s="2">
        <f t="shared" ref="I8:I10" si="4">G8/H8</f>
        <v>0.2</v>
      </c>
      <c r="J8" s="2">
        <f t="shared" ref="J8:J10" si="5">log(I8,2)</f>
        <v>-2.321928095</v>
      </c>
      <c r="K8" s="2">
        <f t="shared" ref="K8:K10" si="6">-I8*J8</f>
        <v>0.464385619</v>
      </c>
      <c r="L8" s="2">
        <v>1.0</v>
      </c>
      <c r="M8" s="2">
        <v>6.0</v>
      </c>
      <c r="N8" s="2">
        <f t="shared" ref="N8:N10" si="7">L8/M8</f>
        <v>0.1666666667</v>
      </c>
      <c r="O8" s="2">
        <f t="shared" ref="O8:O10" si="8">log(N8,2)</f>
        <v>-2.584962501</v>
      </c>
      <c r="P8" s="2">
        <f t="shared" ref="P8:P10" si="9">-N8*O8</f>
        <v>0.4308270835</v>
      </c>
      <c r="Q8" s="1"/>
      <c r="R8" s="1"/>
    </row>
    <row r="9">
      <c r="A9" s="1" t="s">
        <v>2</v>
      </c>
      <c r="B9" s="2">
        <v>2.0</v>
      </c>
      <c r="C9" s="2">
        <v>4.0</v>
      </c>
      <c r="D9" s="2">
        <f t="shared" si="1"/>
        <v>0.5</v>
      </c>
      <c r="E9" s="2">
        <f t="shared" si="2"/>
        <v>-1</v>
      </c>
      <c r="F9" s="2">
        <f t="shared" si="3"/>
        <v>0.5</v>
      </c>
      <c r="G9" s="2">
        <v>2.0</v>
      </c>
      <c r="H9" s="2">
        <v>5.0</v>
      </c>
      <c r="I9" s="2">
        <f t="shared" si="4"/>
        <v>0.4</v>
      </c>
      <c r="J9" s="2">
        <f t="shared" si="5"/>
        <v>-1.321928095</v>
      </c>
      <c r="K9" s="2">
        <f t="shared" si="6"/>
        <v>0.528771238</v>
      </c>
      <c r="L9" s="2">
        <v>4.0</v>
      </c>
      <c r="M9" s="2">
        <v>6.0</v>
      </c>
      <c r="N9" s="2">
        <f t="shared" si="7"/>
        <v>0.6666666667</v>
      </c>
      <c r="O9" s="2">
        <f t="shared" si="8"/>
        <v>-0.5849625007</v>
      </c>
      <c r="P9" s="2">
        <f t="shared" si="9"/>
        <v>0.3899750005</v>
      </c>
      <c r="Q9" s="1"/>
      <c r="R9" s="1"/>
    </row>
    <row r="10">
      <c r="A10" s="1" t="s">
        <v>3</v>
      </c>
      <c r="B10" s="2">
        <v>1.0</v>
      </c>
      <c r="C10" s="2">
        <v>4.0</v>
      </c>
      <c r="D10" s="2">
        <f t="shared" si="1"/>
        <v>0.25</v>
      </c>
      <c r="E10" s="2">
        <f t="shared" si="2"/>
        <v>-2</v>
      </c>
      <c r="F10" s="2">
        <f t="shared" si="3"/>
        <v>0.5</v>
      </c>
      <c r="G10" s="2">
        <v>2.0</v>
      </c>
      <c r="H10" s="2">
        <v>5.0</v>
      </c>
      <c r="I10" s="2">
        <f t="shared" si="4"/>
        <v>0.4</v>
      </c>
      <c r="J10" s="2">
        <f t="shared" si="5"/>
        <v>-1.321928095</v>
      </c>
      <c r="K10" s="2">
        <f t="shared" si="6"/>
        <v>0.528771238</v>
      </c>
      <c r="L10" s="2">
        <v>1.0</v>
      </c>
      <c r="M10" s="2">
        <v>6.0</v>
      </c>
      <c r="N10" s="2">
        <f t="shared" si="7"/>
        <v>0.1666666667</v>
      </c>
      <c r="O10" s="2">
        <f t="shared" si="8"/>
        <v>-2.584962501</v>
      </c>
      <c r="P10" s="2">
        <f t="shared" si="9"/>
        <v>0.4308270835</v>
      </c>
      <c r="Q10" s="1"/>
      <c r="R10" s="1"/>
    </row>
    <row r="11">
      <c r="A11" s="1" t="s">
        <v>13</v>
      </c>
      <c r="B11" s="1"/>
      <c r="C11" s="1"/>
      <c r="D11" s="1"/>
      <c r="E11" s="2">
        <f>4/15</f>
        <v>0.2666666667</v>
      </c>
      <c r="F11" s="2">
        <f>SUM(F7:F10)</f>
        <v>1.5</v>
      </c>
      <c r="G11" s="2">
        <f>E11*F11</f>
        <v>0.4</v>
      </c>
      <c r="H11" s="1"/>
      <c r="I11" s="1"/>
      <c r="J11" s="2">
        <f>5/15</f>
        <v>0.3333333333</v>
      </c>
      <c r="K11" s="2">
        <f>SUM(K7:K10)</f>
        <v>1.521928095</v>
      </c>
      <c r="L11" s="2">
        <f>J11*K11</f>
        <v>0.507309365</v>
      </c>
      <c r="M11" s="1"/>
      <c r="N11" s="1"/>
      <c r="O11" s="2">
        <f>6/15</f>
        <v>0.4</v>
      </c>
      <c r="P11" s="2">
        <f>SUM(P7:P10)</f>
        <v>1.251629167</v>
      </c>
      <c r="Q11" s="2">
        <f>O11*P11</f>
        <v>0.500651667</v>
      </c>
      <c r="R11" s="2">
        <f>Q4-G11-L11-Q11</f>
        <v>0.04860373021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 t="s">
        <v>15</v>
      </c>
      <c r="C14" s="1"/>
      <c r="D14" s="1"/>
      <c r="E14" s="1"/>
      <c r="F14" s="1"/>
      <c r="G14" s="1" t="s">
        <v>16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 t="s">
        <v>1</v>
      </c>
      <c r="B15" s="2">
        <v>2.0</v>
      </c>
      <c r="C15" s="2">
        <v>8.0</v>
      </c>
      <c r="D15" s="2">
        <f t="shared" ref="D15:D17" si="10">B15/C15</f>
        <v>0.25</v>
      </c>
      <c r="E15" s="2">
        <f t="shared" ref="E15:E17" si="11">log(D15,2)</f>
        <v>-2</v>
      </c>
      <c r="F15" s="2">
        <f t="shared" ref="F15:F17" si="12">-D15*E15</f>
        <v>0.5</v>
      </c>
      <c r="G15" s="2">
        <v>1.0</v>
      </c>
      <c r="H15" s="2">
        <v>7.0</v>
      </c>
      <c r="I15" s="2">
        <f t="shared" ref="I15:I17" si="13">G15/H15</f>
        <v>0.1428571429</v>
      </c>
      <c r="J15" s="2">
        <f t="shared" ref="J15:J17" si="14">log(I15,2)</f>
        <v>-2.807354922</v>
      </c>
      <c r="K15" s="2">
        <f t="shared" ref="K15:K17" si="15">-I15*J15</f>
        <v>0.4010507032</v>
      </c>
      <c r="L15" s="1"/>
      <c r="M15" s="1"/>
      <c r="N15" s="1"/>
      <c r="O15" s="1"/>
      <c r="P15" s="1"/>
      <c r="Q15" s="1"/>
      <c r="R15" s="1"/>
    </row>
    <row r="16">
      <c r="A16" s="1" t="s">
        <v>2</v>
      </c>
      <c r="B16" s="2">
        <v>4.0</v>
      </c>
      <c r="C16" s="2">
        <v>8.0</v>
      </c>
      <c r="D16" s="2">
        <f t="shared" si="10"/>
        <v>0.5</v>
      </c>
      <c r="E16" s="2">
        <f t="shared" si="11"/>
        <v>-1</v>
      </c>
      <c r="F16" s="2">
        <f t="shared" si="12"/>
        <v>0.5</v>
      </c>
      <c r="G16" s="2">
        <v>4.0</v>
      </c>
      <c r="H16" s="2">
        <v>7.0</v>
      </c>
      <c r="I16" s="2">
        <f t="shared" si="13"/>
        <v>0.5714285714</v>
      </c>
      <c r="J16" s="2">
        <f t="shared" si="14"/>
        <v>-0.8073549221</v>
      </c>
      <c r="K16" s="2">
        <f t="shared" si="15"/>
        <v>0.4613456697</v>
      </c>
      <c r="L16" s="1"/>
      <c r="M16" s="1"/>
      <c r="N16" s="1"/>
      <c r="O16" s="1"/>
      <c r="P16" s="1"/>
      <c r="Q16" s="1"/>
      <c r="R16" s="1"/>
    </row>
    <row r="17">
      <c r="A17" s="1" t="s">
        <v>3</v>
      </c>
      <c r="B17" s="2">
        <v>2.0</v>
      </c>
      <c r="C17" s="2">
        <v>8.0</v>
      </c>
      <c r="D17" s="2">
        <f t="shared" si="10"/>
        <v>0.25</v>
      </c>
      <c r="E17" s="2">
        <f t="shared" si="11"/>
        <v>-2</v>
      </c>
      <c r="F17" s="2">
        <f t="shared" si="12"/>
        <v>0.5</v>
      </c>
      <c r="G17" s="2">
        <v>2.0</v>
      </c>
      <c r="H17" s="2">
        <v>7.0</v>
      </c>
      <c r="I17" s="2">
        <f t="shared" si="13"/>
        <v>0.2857142857</v>
      </c>
      <c r="J17" s="2">
        <f t="shared" si="14"/>
        <v>-1.807354922</v>
      </c>
      <c r="K17" s="2">
        <f t="shared" si="15"/>
        <v>0.5163871206</v>
      </c>
      <c r="L17" s="1"/>
      <c r="M17" s="1"/>
      <c r="N17" s="1"/>
      <c r="O17" s="1"/>
      <c r="P17" s="1"/>
      <c r="Q17" s="1"/>
      <c r="R17" s="1"/>
    </row>
    <row r="18">
      <c r="A18" s="1" t="s">
        <v>13</v>
      </c>
      <c r="B18" s="1"/>
      <c r="C18" s="1"/>
      <c r="D18" s="1"/>
      <c r="E18" s="2">
        <f>8/15</f>
        <v>0.5333333333</v>
      </c>
      <c r="F18" s="2">
        <f>SUM(F14:F17)</f>
        <v>1.5</v>
      </c>
      <c r="G18" s="2">
        <f>E18*F18</f>
        <v>0.8</v>
      </c>
      <c r="H18" s="1"/>
      <c r="I18" s="1"/>
      <c r="J18" s="2">
        <f>7/15</f>
        <v>0.4666666667</v>
      </c>
      <c r="K18" s="2">
        <f>SUM(K14:K17)</f>
        <v>1.378783493</v>
      </c>
      <c r="L18" s="2">
        <f>J18*K18</f>
        <v>0.643432297</v>
      </c>
      <c r="M18" s="2">
        <f>Q4-G18-L18</f>
        <v>0.01313246517</v>
      </c>
      <c r="N18" s="1"/>
      <c r="O18" s="1"/>
      <c r="P18" s="1"/>
      <c r="Q18" s="1"/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" t="s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 t="s">
        <v>18</v>
      </c>
      <c r="C21" s="1"/>
      <c r="D21" s="1"/>
      <c r="E21" s="1"/>
      <c r="F21" s="1"/>
      <c r="G21" s="1" t="s">
        <v>19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 t="s">
        <v>1</v>
      </c>
      <c r="B22" s="2">
        <v>1.0</v>
      </c>
      <c r="C22" s="2">
        <v>7.0</v>
      </c>
      <c r="D22" s="2">
        <f t="shared" ref="D22:D24" si="16">B22/C22</f>
        <v>0.1428571429</v>
      </c>
      <c r="E22" s="2">
        <f t="shared" ref="E22:E24" si="17">log(D22,2)</f>
        <v>-2.807354922</v>
      </c>
      <c r="F22" s="2">
        <f t="shared" ref="F22:F24" si="18">-D22*E22</f>
        <v>0.4010507032</v>
      </c>
      <c r="G22" s="2">
        <v>2.0</v>
      </c>
      <c r="H22" s="2">
        <v>8.0</v>
      </c>
      <c r="I22" s="2">
        <f t="shared" ref="I22:I24" si="19">G22/H22</f>
        <v>0.25</v>
      </c>
      <c r="J22" s="2">
        <f t="shared" ref="J22:J24" si="20">log(I22,2)</f>
        <v>-2</v>
      </c>
      <c r="K22" s="2">
        <f t="shared" ref="K22:K24" si="21">-I22*J22</f>
        <v>0.5</v>
      </c>
      <c r="L22" s="1"/>
      <c r="M22" s="1"/>
      <c r="N22" s="1"/>
      <c r="O22" s="1"/>
      <c r="P22" s="1"/>
      <c r="Q22" s="1"/>
      <c r="R22" s="1"/>
    </row>
    <row r="23">
      <c r="A23" s="1" t="s">
        <v>2</v>
      </c>
      <c r="B23" s="2">
        <v>3.0</v>
      </c>
      <c r="C23" s="2">
        <v>7.0</v>
      </c>
      <c r="D23" s="2">
        <f t="shared" si="16"/>
        <v>0.4285714286</v>
      </c>
      <c r="E23" s="2">
        <f t="shared" si="17"/>
        <v>-1.222392421</v>
      </c>
      <c r="F23" s="2">
        <f t="shared" si="18"/>
        <v>0.5238824663</v>
      </c>
      <c r="G23" s="2">
        <v>5.0</v>
      </c>
      <c r="H23" s="2">
        <v>8.0</v>
      </c>
      <c r="I23" s="2">
        <f t="shared" si="19"/>
        <v>0.625</v>
      </c>
      <c r="J23" s="2">
        <f t="shared" si="20"/>
        <v>-0.6780719051</v>
      </c>
      <c r="K23" s="2">
        <f t="shared" si="21"/>
        <v>0.4237949407</v>
      </c>
      <c r="L23" s="1"/>
      <c r="M23" s="1"/>
      <c r="N23" s="1"/>
      <c r="O23" s="1"/>
      <c r="P23" s="1"/>
      <c r="Q23" s="1"/>
      <c r="R23" s="1"/>
    </row>
    <row r="24">
      <c r="A24" s="1" t="s">
        <v>3</v>
      </c>
      <c r="B24" s="2">
        <v>3.0</v>
      </c>
      <c r="C24" s="2">
        <v>7.0</v>
      </c>
      <c r="D24" s="2">
        <f t="shared" si="16"/>
        <v>0.4285714286</v>
      </c>
      <c r="E24" s="2">
        <f t="shared" si="17"/>
        <v>-1.222392421</v>
      </c>
      <c r="F24" s="2">
        <f t="shared" si="18"/>
        <v>0.5238824663</v>
      </c>
      <c r="G24" s="2">
        <v>1.0</v>
      </c>
      <c r="H24" s="2">
        <v>8.0</v>
      </c>
      <c r="I24" s="2">
        <f t="shared" si="19"/>
        <v>0.125</v>
      </c>
      <c r="J24" s="2">
        <f t="shared" si="20"/>
        <v>-3</v>
      </c>
      <c r="K24" s="2">
        <f t="shared" si="21"/>
        <v>0.375</v>
      </c>
      <c r="L24" s="1"/>
      <c r="M24" s="1"/>
      <c r="N24" s="1"/>
      <c r="O24" s="1"/>
      <c r="P24" s="1"/>
      <c r="Q24" s="1"/>
      <c r="R24" s="1"/>
    </row>
    <row r="25">
      <c r="A25" s="1" t="s">
        <v>13</v>
      </c>
      <c r="B25" s="1"/>
      <c r="C25" s="1"/>
      <c r="D25" s="1"/>
      <c r="E25" s="2">
        <f>7/15</f>
        <v>0.4666666667</v>
      </c>
      <c r="F25" s="2">
        <f>SUM(F21:F24)</f>
        <v>1.448815636</v>
      </c>
      <c r="G25" s="2">
        <f>E25*F25</f>
        <v>0.6761139633</v>
      </c>
      <c r="H25" s="1"/>
      <c r="I25" s="1"/>
      <c r="J25" s="2">
        <f>8/15</f>
        <v>0.5333333333</v>
      </c>
      <c r="K25" s="2">
        <f>SUM(K21:K24)</f>
        <v>1.298794941</v>
      </c>
      <c r="L25" s="2">
        <f>J25*K25</f>
        <v>0.692690635</v>
      </c>
      <c r="M25" s="2">
        <f>Q4-G25-L25</f>
        <v>0.08776016375</v>
      </c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 t="s">
        <v>21</v>
      </c>
      <c r="C28" s="1"/>
      <c r="D28" s="1"/>
      <c r="E28" s="1"/>
      <c r="F28" s="1"/>
      <c r="G28" s="1" t="s">
        <v>22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 t="s">
        <v>1</v>
      </c>
      <c r="B29" s="2">
        <v>0.0</v>
      </c>
      <c r="C29" s="2">
        <v>10.0</v>
      </c>
      <c r="D29" s="2">
        <f t="shared" ref="D29:D31" si="22">B29/C29</f>
        <v>0</v>
      </c>
      <c r="E29" s="3">
        <v>0.0</v>
      </c>
      <c r="F29" s="2">
        <f t="shared" ref="F29:F31" si="23">-D29*E29</f>
        <v>0</v>
      </c>
      <c r="G29" s="2">
        <v>3.0</v>
      </c>
      <c r="H29" s="2">
        <v>5.0</v>
      </c>
      <c r="I29" s="2">
        <f t="shared" ref="I29:I31" si="24">G29/H29</f>
        <v>0.6</v>
      </c>
      <c r="J29" s="2">
        <f t="shared" ref="J29:J30" si="25">log(I29,2)</f>
        <v>-0.7369655942</v>
      </c>
      <c r="K29" s="2">
        <f t="shared" ref="K29:K31" si="26">-I29*J29</f>
        <v>0.4421793565</v>
      </c>
      <c r="L29" s="1"/>
      <c r="M29" s="1"/>
      <c r="N29" s="1"/>
      <c r="O29" s="1"/>
      <c r="P29" s="1"/>
      <c r="Q29" s="1"/>
      <c r="R29" s="1"/>
    </row>
    <row r="30">
      <c r="A30" s="1" t="s">
        <v>2</v>
      </c>
      <c r="B30" s="2">
        <v>6.0</v>
      </c>
      <c r="C30" s="2">
        <v>10.0</v>
      </c>
      <c r="D30" s="2">
        <f t="shared" si="22"/>
        <v>0.6</v>
      </c>
      <c r="E30" s="2">
        <f t="shared" ref="E30:E31" si="27">log(D30,2)</f>
        <v>-0.7369655942</v>
      </c>
      <c r="F30" s="2">
        <f t="shared" si="23"/>
        <v>0.4421793565</v>
      </c>
      <c r="G30" s="2">
        <v>2.0</v>
      </c>
      <c r="H30" s="2">
        <v>5.0</v>
      </c>
      <c r="I30" s="2">
        <f t="shared" si="24"/>
        <v>0.4</v>
      </c>
      <c r="J30" s="2">
        <f t="shared" si="25"/>
        <v>-1.321928095</v>
      </c>
      <c r="K30" s="2">
        <f t="shared" si="26"/>
        <v>0.528771238</v>
      </c>
      <c r="L30" s="1"/>
      <c r="M30" s="1"/>
      <c r="N30" s="1"/>
      <c r="O30" s="1"/>
      <c r="P30" s="1"/>
      <c r="Q30" s="1"/>
      <c r="R30" s="1"/>
    </row>
    <row r="31">
      <c r="A31" s="1" t="s">
        <v>3</v>
      </c>
      <c r="B31" s="2">
        <v>4.0</v>
      </c>
      <c r="C31" s="2">
        <v>10.0</v>
      </c>
      <c r="D31" s="2">
        <f t="shared" si="22"/>
        <v>0.4</v>
      </c>
      <c r="E31" s="2">
        <f t="shared" si="27"/>
        <v>-1.321928095</v>
      </c>
      <c r="F31" s="2">
        <f t="shared" si="23"/>
        <v>0.528771238</v>
      </c>
      <c r="G31" s="2">
        <v>0.0</v>
      </c>
      <c r="H31" s="2">
        <v>5.0</v>
      </c>
      <c r="I31" s="2">
        <f t="shared" si="24"/>
        <v>0</v>
      </c>
      <c r="J31" s="3">
        <v>0.0</v>
      </c>
      <c r="K31" s="2">
        <f t="shared" si="26"/>
        <v>0</v>
      </c>
      <c r="L31" s="1"/>
      <c r="M31" s="1"/>
      <c r="N31" s="1"/>
      <c r="O31" s="1"/>
      <c r="P31" s="1"/>
      <c r="Q31" s="1"/>
      <c r="R31" s="1"/>
    </row>
    <row r="32">
      <c r="A32" s="1" t="s">
        <v>13</v>
      </c>
      <c r="B32" s="1"/>
      <c r="C32" s="1"/>
      <c r="D32" s="1"/>
      <c r="E32" s="2">
        <f>10/15</f>
        <v>0.6666666667</v>
      </c>
      <c r="F32" s="2">
        <f>SUM(F28:F31)</f>
        <v>0.9709505945</v>
      </c>
      <c r="G32" s="2">
        <f>E32*F32</f>
        <v>0.6473003963</v>
      </c>
      <c r="H32" s="1"/>
      <c r="I32" s="1"/>
      <c r="J32" s="2">
        <f>5/15</f>
        <v>0.3333333333</v>
      </c>
      <c r="K32" s="2">
        <f>SUM(K28:K31)</f>
        <v>0.9709505945</v>
      </c>
      <c r="L32" s="2">
        <f>J32*K32</f>
        <v>0.3236501982</v>
      </c>
      <c r="M32" s="2">
        <f>Q4-G32-L32</f>
        <v>0.4856141677</v>
      </c>
      <c r="N32" s="1"/>
      <c r="O32" s="1"/>
      <c r="P32" s="1"/>
      <c r="Q32" s="1"/>
      <c r="R32" s="1"/>
    </row>
  </sheetData>
  <drawing r:id="rId1"/>
</worksheet>
</file>